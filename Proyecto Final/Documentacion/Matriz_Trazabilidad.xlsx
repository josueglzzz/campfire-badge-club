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
    </mc:Choice>
  </mc:AlternateContent>
  <xr:revisionPtr revIDLastSave="0" documentId="8_{9DF7D75A-B98A-41EF-AB37-2D80EFACE8BE}"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Trazabilidad" sheetId="2" r:id="rId2"/>
    <sheet name="Resumen Cobertura" sheetId="3" r:id="rId3"/>
  </sheets>
  <definedNames>
    <definedName name="_xlnm._FilterDatabase" localSheetId="1" hidden="1">Trazabilidad!$A$3:$J$200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B12" i="3"/>
  <c r="B10" i="3"/>
  <c r="B9" i="3"/>
</calcChain>
</file>

<file path=xl/sharedStrings.xml><?xml version="1.0" encoding="utf-8"?>
<sst xmlns="http://schemas.openxmlformats.org/spreadsheetml/2006/main" count="196" uniqueCount="148">
  <si>
    <t>MATRIZ DE TRAZABILIDAD — INSTRUCCIONES</t>
  </si>
  <si>
    <t>¿Qué es la Matriz de Trazabilidad?</t>
  </si>
  <si>
    <t>Documenta la relación entre cada requerimiento de la matriz y su implementación visible en el prototipo. Permite demostrar que el prototipo cubre los requerimientos especificados y que ninguno quedó sin representar.</t>
  </si>
  <si>
    <t>¿Cómo llenar esta matriz?</t>
  </si>
  <si>
    <t>1. Copien los IDs de requerimientos desde Matriz_Requerimientos.xlsx (columna ID).</t>
  </si>
  <si>
    <t>2. Para cada requerimiento, identifiquen en qué pantalla(s) del prototipo es visible.</t>
  </si>
  <si>
    <t>3. Indiquen la sección o componente específico dentro de la pantalla (ej: 'Formulario sección 2 - campo Diagnóstico').</t>
  </si>
  <si>
    <t>4. Asignen el estado de cobertura con el menú desplegable.</t>
  </si>
  <si>
    <t>5. Marquen si fue validado con el cliente durante la sesión de revisión del prototipo.</t>
  </si>
  <si>
    <t>6. Agreguen observaciones si el requerimiento fue ajustado o está pendiente.</t>
  </si>
  <si>
    <t>Estados de cobertura:</t>
  </si>
  <si>
    <t xml:space="preserve">  • Cubierto: El prototipo implementa completamente el requerimiento tal como fue especificado.</t>
  </si>
  <si>
    <t xml:space="preserve">  • Parcialmente cubierto: El prototipo muestra parte del requerimiento. Indicar qué falta en Observaciones.</t>
  </si>
  <si>
    <t xml:space="preserve">  • No cubierto: El requerimiento NO está representado en el prototipo (ej: RNF de rendimiento).</t>
  </si>
  <si>
    <t xml:space="preserve">  • No aplica al prototipo: Requerimientos que por naturaleza no son visibles (ej: respaldos automáticos).</t>
  </si>
  <si>
    <t>Consejo:</t>
  </si>
  <si>
    <t>Los RNF técnicos (rendimiento, seguridad, disponibilidad) generalmente NO se cubren con prototipo HTML. Márcalos como 'No aplica al prototipo' y anota cómo se validarán más adelante.</t>
  </si>
  <si>
    <t>¿Cómo identificar las pantallas? (columna 'ID Pantalla')</t>
  </si>
  <si>
    <t>El ID de pantalla (PNT-01, PNT-02...) es un código que SU EQUIPO inventa para identificar cada pantalla del prototipo. No existe un estándar externo — simplemente asignen un número secuencial a cada pantalla.</t>
  </si>
  <si>
    <t>Pasos para definir los IDs:</t>
  </si>
  <si>
    <t>1.  Abran su prototipo HTML y listen todas las pantallas que tiene.</t>
  </si>
  <si>
    <t>2.  Asignen PNT-01 a la primera, PNT-02 a la segunda, y así sucesivamente.</t>
  </si>
  <si>
    <t>3.  Usen esos mismos IDs en esta matriz, en la Especificación Final y en el README de GitHub.</t>
  </si>
  <si>
    <t>⚠️  Regla crítica: un ID que aparece en esta matriz DEBE existir con ese mismo nombre en el prototipo. Si cambian el nombre de una pantalla en el HTML, actualicen la matriz.</t>
  </si>
  <si>
    <t>Ejemplo de lista de pantallas para un sistema de guías de valoración:</t>
  </si>
  <si>
    <t>ID Pantalla</t>
  </si>
  <si>
    <t>Nombre descriptivo</t>
  </si>
  <si>
    <t>PNT-01</t>
  </si>
  <si>
    <t>Login / Inicio de sesión</t>
  </si>
  <si>
    <t>PNT-02</t>
  </si>
  <si>
    <t>Dashboard — vista general del estudiante</t>
  </si>
  <si>
    <t>PNT-03</t>
  </si>
  <si>
    <t>Captura de guía de valoración</t>
  </si>
  <si>
    <t>PNT-04</t>
  </si>
  <si>
    <t>Historial de guías del paciente</t>
  </si>
  <si>
    <t>PNT-05</t>
  </si>
  <si>
    <t>Panel de revisión del docente</t>
  </si>
  <si>
    <t>PNT-06</t>
  </si>
  <si>
    <t>Administración de plantillas (coordinador)</t>
  </si>
  <si>
    <t>¿Qué nivel de detalle se espera? (columna 'Sección / Componente')</t>
  </si>
  <si>
    <t>Esta columna ubica DENTRO de una pantalla el lugar exacto donde el requerimiento es visible. No basta con nombrar la pantalla — hay que señalar el elemento específico.</t>
  </si>
  <si>
    <t>Piénsenlo así: alguien que nunca ha visto su prototipo debe poder abrir el HTML y encontrar ese elemento en menos de 30 segundos con su descripción.</t>
  </si>
  <si>
    <t>Ejemplos: descripción vaga vs. descripción útil</t>
  </si>
  <si>
    <t>❌  Descripción vaga (no aceptable)</t>
  </si>
  <si>
    <t>✅  Descripción específica (lo que se espera)</t>
  </si>
  <si>
    <t>❌  'Pantalla de captura'</t>
  </si>
  <si>
    <t>✅  'Formulario principal — sección Patrón nutricional, campo Tipo de dieta'</t>
  </si>
  <si>
    <t>❌  'Menú'</t>
  </si>
  <si>
    <t>✅  'Barra de navegación lateral, ítem Mis guías'</t>
  </si>
  <si>
    <t>❌  'Login'</t>
  </si>
  <si>
    <t>✅  'Selector de rol debajo del campo de contraseña'</t>
  </si>
  <si>
    <t>❌  'Pantalla del docente'</t>
  </si>
  <si>
    <t>✅  'Tabla de guías del grupo, columna Estado — botón Ver detalle'</t>
  </si>
  <si>
    <t>❌  'Dashboard'</t>
  </si>
  <si>
    <t>✅  'Tarjeta resumen en esquina superior derecha — contador de guías pendientes'</t>
  </si>
  <si>
    <t>Casos especiales — ¿qué poner cuando el requerimiento no es visible en el prototipo?</t>
  </si>
  <si>
    <t>• No aplica al prototipo: Requerimientos técnicos no visibles en HTML estático: rendimiento, seguridad, respaldos, disponibilidad. Ejemplo: RNF-03 (responder en &lt;3 seg). Dejar vacías las columnas ID Pantalla y Sección/Componente, y explicar en Observaciones cómo se validaría en implementación real.</t>
  </si>
  <si>
    <t>• No cubierto: El requerimiento SÍ debería ser visible en el prototipo pero aún no está implementado. Documentarlo así y no omitirlo — la transparencia es parte de la evaluación.</t>
  </si>
  <si>
    <t>• Parcialmente cubierto: El prototipo muestra parte del requerimiento pero no todo. En Observaciones indicar qué falta exactamente.</t>
  </si>
  <si>
    <t>MATRIZ DE TRAZABILIDAD — REQUERIMIENTOS ↔ PROTOTIPO</t>
  </si>
  <si>
    <t>REQUERIMIENTO</t>
  </si>
  <si>
    <t>UBICACIÓN EN EL PROTOTIPO</t>
  </si>
  <si>
    <t>VALIDACIÓN</t>
  </si>
  <si>
    <t>ID Req.</t>
  </si>
  <si>
    <t>Tipo</t>
  </si>
  <si>
    <t>Descripción
(breve)</t>
  </si>
  <si>
    <t>Prioridad</t>
  </si>
  <si>
    <t>Nombre
Pantalla</t>
  </si>
  <si>
    <t>Sección /
Componente</t>
  </si>
  <si>
    <t>Cobertura</t>
  </si>
  <si>
    <t>Validado
con cliente</t>
  </si>
  <si>
    <t>Observaciones</t>
  </si>
  <si>
    <t>RF-01</t>
  </si>
  <si>
    <t>RF</t>
  </si>
  <si>
    <t>Must have</t>
  </si>
  <si>
    <t>Cubierto</t>
  </si>
  <si>
    <t>Sí</t>
  </si>
  <si>
    <t>RF-03</t>
  </si>
  <si>
    <t>RF-05</t>
  </si>
  <si>
    <t>RF-06</t>
  </si>
  <si>
    <t>Parcialmente cubierto</t>
  </si>
  <si>
    <t>No aplica al prototipo</t>
  </si>
  <si>
    <t>RNF-01</t>
  </si>
  <si>
    <t>RNF</t>
  </si>
  <si>
    <t>RNF-02</t>
  </si>
  <si>
    <t>RNF-03</t>
  </si>
  <si>
    <t>RESUMEN DE COBERTURA DE REQUERIMIENTOS EN EL PROTOTIPO</t>
  </si>
  <si>
    <t>Este resumen se actualiza automáticamente con los datos de la hoja Trazabilidad.</t>
  </si>
  <si>
    <t>Métrica</t>
  </si>
  <si>
    <t>Valor</t>
  </si>
  <si>
    <t>Total de requerimientos en la matriz</t>
  </si>
  <si>
    <t>Cubiertos completamente</t>
  </si>
  <si>
    <t>Parcialmente cubiertos</t>
  </si>
  <si>
    <t>No cubiertos</t>
  </si>
  <si>
    <t>No aplican al prototipo</t>
  </si>
  <si>
    <t>Validados con cliente (Sí)</t>
  </si>
  <si>
    <t>Pendientes de validación con cliente (No)</t>
  </si>
  <si>
    <t>RNF-04</t>
  </si>
  <si>
    <t>RNF-05</t>
  </si>
  <si>
    <t>RNF-06</t>
  </si>
  <si>
    <t>RNF-07</t>
  </si>
  <si>
    <t>RNF-08</t>
  </si>
  <si>
    <t>El usuario puede registrarse con nombre, correo y contrasena (minimo 8 caracteres, al menos un numero).
El sistema valida que no existan correos duplicados.
El usuario puede iniciar sesion con correo y contrasena.
El usuario puede editar su informacion personal.</t>
  </si>
  <si>
    <t>El sistema otorga puntos al cumplir las siguientes acciones: registrar una visita (+10 pts), registrar un consumo (+5 pts por producto).
El usuario puede visualizar sus recompensas acumuladas en su perfil.
Los puntos se actualizan automaticamente al completar cada accion registrada.</t>
  </si>
  <si>
    <t>El usuario puede registrar manualmente una visita o consumo desde la aplicacion.
El historial muestra el registro en menos de 5 segundos despues de guardarlo, con fecha, hora y producto.
El historial de consumos puede ser consultado por el usuario en cualquier momento.</t>
  </si>
  <si>
    <t>El sistema muestra el menu actualizado de cervezas disponibles.
Al modificar un producto en el panel de administracion, el cambio se refleja en el menu visible al usuario en menos de 60 segundos.
El usuario puede consultar nombre, descripcion y precio de cada producto.</t>
  </si>
  <si>
    <t>El sistema tendra una disponibilidad minima del 99% mensual.
Las ventanas de mantenimiento programadas se realizaran fuera del horario de operacion (despues de las 23:00 hrs) y se notificaran con 24 hrs de anticipacion.</t>
  </si>
  <si>
    <t>El sistema debe responder rapidamente a las acciones del usuario.</t>
  </si>
  <si>
    <t>El sistema debe ser accesible desde navegadores web sin necesidad de instalacion.</t>
  </si>
  <si>
    <t>El sistema debe adaptarse a dispositivos moviles para facilitar su uso dentro del establecimiento.</t>
  </si>
  <si>
    <t>El sistema debe soportar multiples usuarios simultaneamente.</t>
  </si>
  <si>
    <t>El sistema debe proteger la información de los usuarios.</t>
  </si>
  <si>
    <t>El sistema debe cumplir con normativas de consumo de alcohol.</t>
  </si>
  <si>
    <t>El sistema debe ser facil de usar para cualquier cliente sin capacitacion previa.</t>
  </si>
  <si>
    <t>Login, crear cuenta, age gate, perfil</t>
  </si>
  <si>
    <t>PNT-01
PNT-02
PNT-03
PNT-08</t>
  </si>
  <si>
    <t>Formulario de login con validación de campos · Formulario de registro con validación (mín. 8 chars + 1 número) y errores inline · Verificación de edad obligatoria previa al acceso · Sección de datos del usuario</t>
  </si>
  <si>
    <t>PNT-04
PNT-05
PNT-06
PNT-08</t>
  </si>
  <si>
    <t>PNT-04
PNT-05
PNT-06
PNT-09</t>
  </si>
  <si>
    <t>Home, Registrar consumo, Registrar visita, Perfil</t>
  </si>
  <si>
    <t>Panel de puntos activos (+10 visita / +5 consumo) y bloque de stats · Pantalla de éxito con puntos ganados +5 pts · Pantalla de éxito con puntos ganados +10 pts · Bloque de stats: puntos, racha y ranking acumulados</t>
  </si>
  <si>
    <t>Botones "Registrar consumo" y "Registrar visita" como único punto de acceso · Formulario manual (nombre, estilo, sucursal) con pantalla de éxito que muestra fecha y hora · Formulario manual (sucursal, hora) con timestamp en confirmación · Historial de consumos con fecha y hora por entrada</t>
  </si>
  <si>
    <t>PNT-07
PNT-09</t>
  </si>
  <si>
    <t>On Tap, Admin</t>
  </si>
  <si>
    <t>Tarjetas de cerveza con nombre, descripción, estilo, ABV, IBU y precio MXN · Toggles de activación/desactivación con indicador "visible en menos de 60 segundos"</t>
  </si>
  <si>
    <t>N/A</t>
  </si>
  <si>
    <t>Requerimiento de infraestructura (Vercel). No demostrable en prototipo HTML estático.</t>
  </si>
  <si>
    <t>PNT-01
PNT-02
PNT-03
PNT-04
PNT-05
PNT-06
PNT-08
PNT-09</t>
  </si>
  <si>
    <t>Todas las pantallas</t>
  </si>
  <si>
    <t>Transiciones instantáneas entre pantallas. Formularios y menús sin latencia perceptible al ser HTML estático.</t>
  </si>
  <si>
    <t>PNT-01
PNT-02
PNT-03
PNT-04
PNT-05
PNT-06
PNT-08
PNT-10</t>
  </si>
  <si>
    <t>Todas las pantallas / Archivo .html</t>
  </si>
  <si>
    <t>Archivo HTML puro sin dependencias locales. Abre directamente en Chrome, Safari, Firefox y Edge con doble clic, sin instalación.</t>
  </si>
  <si>
    <t>PNT-01
PNT-02
PNT-03
PNT-04
PNT-05
PNT-06
PNT-08
PNT-11</t>
  </si>
  <si>
    <t>Diseño mobile-first con max-width 390px y viewport meta tag configurado. Bottom nav táctil con áreas de toque adecuadas. Fluye sin errores en smartphone y tablet.</t>
  </si>
  <si>
    <t>Requerimiento de backend/infraestructura (Supabase). Se valida con JMeter o k6 en producción.</t>
  </si>
  <si>
    <t>PNT-01
PNT-09</t>
  </si>
  <si>
    <t>Login, Admin</t>
  </si>
  <si>
    <t>Error genérico "Correo o contraseña incorrectos" sin revelar campo específico. Campo contraseña siempre type=password. Aviso visible de expiración de sesión a los 30 minutos de inactividad en panel admin.</t>
  </si>
  <si>
    <t>PNT-01
PNT-02
PNT-03</t>
  </si>
  <si>
    <t>Login, Crear cuenta, Age gate</t>
  </si>
  <si>
    <t>Pantalla age gate con campo fecha de nacimiento y cálculo real de edad. Bloqueo con mensaje si el usuario declara menos de 18 años. Aplica a login, registro y acceso admin. Aviso de cumplimiento con Ley General de Salud y NOM bebidas alcohólicas.</t>
  </si>
  <si>
    <t>PNT-04
PNT-05</t>
  </si>
  <si>
    <t>Home, Registrar consumo</t>
  </si>
  <si>
    <t>Botón "Registrar consumo" visible y prominente en Home sin necesidad de navegar. Formulario de 3 campos (nombre, estilo, sucursal) con etiquetas claras, errores inline y confirmación inmediata.</t>
  </si>
  <si>
    <t>HTTPS y bcrypt son de implementación backend. En el prototipo se demuestran los elementos visibles de seguridad: error genérico en login y aviso de sesión.</t>
  </si>
  <si>
    <t>Se valida en producción con Vercel y prueba de carga con k6. No aplica a prototipo estático.</t>
  </si>
  <si>
    <t>El prototipo cubre registro, inicio de sesión y visualización de datos del usuario. La funcionalidad de editar información personal queda pendiente para la siguiente iteración del prototipo o la implementación real con Supabase Auth.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</si>
</sst>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1F4E79"/>
      <name val="Arial"/>
    </font>
    <font>
      <b/>
      <sz val="11"/>
      <color rgb="FF1F4E79"/>
      <name val="Arial"/>
    </font>
    <font>
      <sz val="11"/>
      <color rgb="FF404040"/>
      <name val="Arial"/>
    </font>
    <font>
      <b/>
      <sz val="14"/>
      <color rgb="FFFFFFFF"/>
      <name val="Arial"/>
    </font>
    <font>
      <b/>
      <sz val="10"/>
      <color rgb="FFFFFFFF"/>
      <name val="Arial"/>
    </font>
    <font>
      <b/>
      <sz val="11"/>
      <color rgb="FFFFFFFF"/>
      <name val="Arial"/>
    </font>
    <font>
      <sz val="10"/>
      <name val="Arial"/>
    </font>
    <font>
      <b/>
      <sz val="14"/>
      <color rgb="FF1F4E79"/>
      <name val="Arial"/>
    </font>
    <font>
      <i/>
      <sz val="10"/>
      <color rgb="FF595959"/>
      <name val="Arial"/>
    </font>
    <font>
      <b/>
      <sz val="12"/>
      <color rgb="FF1F4E79"/>
      <name val="Arial"/>
    </font>
    <font>
      <b/>
      <sz val="11"/>
      <color rgb="FF404040"/>
      <name val="Arial"/>
    </font>
    <font>
      <sz val="11"/>
      <color rgb="FF833C00"/>
      <name val="Arial"/>
    </font>
    <font>
      <i/>
      <sz val="10"/>
      <name val="Arial"/>
    </font>
    <font>
      <i/>
      <sz val="11"/>
      <color rgb="FF375623"/>
      <name val="Arial"/>
    </font>
    <font>
      <sz val="8"/>
      <name val="Calibri"/>
      <family val="2"/>
      <scheme val="minor"/>
    </font>
    <font>
      <sz val="10"/>
      <name val="Arial"/>
      <family val="2"/>
    </font>
  </fonts>
  <fills count="14">
    <fill>
      <patternFill patternType="none"/>
    </fill>
    <fill>
      <patternFill patternType="gray125"/>
    </fill>
    <fill>
      <patternFill patternType="solid">
        <fgColor rgb="FF1F4E79"/>
        <bgColor rgb="FF1F4E79"/>
      </patternFill>
    </fill>
    <fill>
      <patternFill patternType="solid">
        <fgColor rgb="FF2E74B5"/>
        <bgColor rgb="FF2E74B5"/>
      </patternFill>
    </fill>
    <fill>
      <patternFill patternType="solid">
        <fgColor rgb="FF375623"/>
        <bgColor rgb="FF375623"/>
      </patternFill>
    </fill>
    <fill>
      <patternFill patternType="solid">
        <fgColor rgb="FF833C00"/>
        <bgColor rgb="FF833C00"/>
      </patternFill>
    </fill>
    <fill>
      <patternFill patternType="solid">
        <fgColor rgb="FFFFFFFF"/>
        <bgColor rgb="FFFFFFFF"/>
      </patternFill>
    </fill>
    <fill>
      <patternFill patternType="solid">
        <fgColor rgb="FFE2EFDA"/>
        <bgColor rgb="FFE2EFDA"/>
      </patternFill>
    </fill>
    <fill>
      <patternFill patternType="solid">
        <fgColor rgb="FFF8F8F8"/>
        <bgColor rgb="FFF8F8F8"/>
      </patternFill>
    </fill>
    <fill>
      <patternFill patternType="solid">
        <fgColor rgb="FFFFF2CC"/>
        <bgColor rgb="FFFFF2CC"/>
      </patternFill>
    </fill>
    <fill>
      <patternFill patternType="solid">
        <fgColor rgb="FFEDEDED"/>
        <bgColor rgb="FFEDEDED"/>
      </patternFill>
    </fill>
    <fill>
      <patternFill patternType="solid">
        <fgColor rgb="FFF2F2F2"/>
        <bgColor rgb="FFF2F2F2"/>
      </patternFill>
    </fill>
    <fill>
      <patternFill patternType="solid">
        <fgColor rgb="FFC00000"/>
        <bgColor rgb="FFC00000"/>
      </patternFill>
    </fill>
    <fill>
      <patternFill patternType="solid">
        <fgColor rgb="FFFFE6E6"/>
        <bgColor rgb="FFFFE6E6"/>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40">
    <xf numFmtId="0" fontId="0" fillId="0" borderId="0" xfId="0"/>
    <xf numFmtId="0" fontId="2" fillId="0" borderId="0" xfId="0" applyFont="1" applyAlignment="1">
      <alignment wrapText="1"/>
    </xf>
    <xf numFmtId="0" fontId="3" fillId="0" borderId="0" xfId="0" applyFont="1" applyAlignment="1">
      <alignment wrapText="1"/>
    </xf>
    <xf numFmtId="0" fontId="2" fillId="11" borderId="1" xfId="0" applyFont="1" applyFill="1" applyBorder="1" applyAlignment="1">
      <alignment vertical="center" wrapText="1"/>
    </xf>
    <xf numFmtId="0" fontId="3" fillId="6" borderId="1" xfId="0" applyFont="1" applyFill="1" applyBorder="1" applyAlignment="1">
      <alignment vertical="center" wrapText="1"/>
    </xf>
    <xf numFmtId="0" fontId="0" fillId="2" borderId="0" xfId="0" applyFill="1"/>
    <xf numFmtId="0" fontId="10" fillId="11" borderId="0" xfId="0" applyFont="1" applyFill="1" applyAlignment="1">
      <alignment wrapText="1"/>
    </xf>
    <xf numFmtId="0" fontId="11" fillId="0" borderId="0" xfId="0" applyFont="1" applyAlignment="1">
      <alignment wrapText="1"/>
    </xf>
    <xf numFmtId="0" fontId="3" fillId="0" borderId="0" xfId="0" applyFont="1" applyAlignment="1">
      <alignment wrapText="1" indent="2"/>
    </xf>
    <xf numFmtId="0" fontId="12" fillId="0" borderId="0" xfId="0" applyFont="1" applyAlignment="1">
      <alignment wrapText="1"/>
    </xf>
    <xf numFmtId="0" fontId="5" fillId="2" borderId="1" xfId="0" applyFont="1" applyFill="1" applyBorder="1" applyAlignment="1">
      <alignment horizontal="center" vertical="center" wrapText="1"/>
    </xf>
    <xf numFmtId="0" fontId="13" fillId="11" borderId="1" xfId="0" applyFont="1" applyFill="1" applyBorder="1" applyAlignment="1">
      <alignment vertical="top" wrapText="1"/>
    </xf>
    <xf numFmtId="0" fontId="13" fillId="6" borderId="1" xfId="0" applyFont="1" applyFill="1" applyBorder="1" applyAlignment="1">
      <alignment vertical="top" wrapText="1"/>
    </xf>
    <xf numFmtId="0" fontId="14" fillId="0" borderId="0" xfId="0" applyFont="1" applyAlignment="1">
      <alignment wrapText="1"/>
    </xf>
    <xf numFmtId="0" fontId="5" fillId="1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3" fillId="13" borderId="1" xfId="0" applyFont="1" applyFill="1" applyBorder="1" applyAlignment="1">
      <alignment vertical="top" wrapText="1"/>
    </xf>
    <xf numFmtId="0" fontId="13" fillId="7" borderId="1" xfId="0" applyFont="1" applyFill="1" applyBorder="1" applyAlignment="1">
      <alignment vertical="top" wrapText="1"/>
    </xf>
    <xf numFmtId="0" fontId="7" fillId="9" borderId="1" xfId="0" applyFont="1" applyFill="1" applyBorder="1" applyAlignment="1">
      <alignment wrapText="1" indent="2"/>
    </xf>
    <xf numFmtId="0" fontId="1" fillId="0" borderId="0" xfId="0" applyFont="1"/>
    <xf numFmtId="0" fontId="0" fillId="0" borderId="0" xfId="0"/>
    <xf numFmtId="0" fontId="4" fillId="2" borderId="0" xfId="0" applyFont="1" applyFill="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8" fillId="0" borderId="0" xfId="0" applyFont="1"/>
    <xf numFmtId="0" fontId="9" fillId="0" borderId="0" xfId="0" applyFont="1"/>
    <xf numFmtId="0" fontId="6" fillId="2" borderId="1" xfId="0" applyFont="1" applyFill="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0" fillId="0" borderId="0" xfId="0" applyAlignment="1">
      <alignment horizontal="center" vertical="center"/>
    </xf>
    <xf numFmtId="0" fontId="16" fillId="6" borderId="1" xfId="0" applyFont="1" applyFill="1" applyBorder="1" applyAlignment="1">
      <alignment horizontal="center" vertical="center" wrapText="1"/>
    </xf>
    <xf numFmtId="0" fontId="16"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AE3A4"/>
      <color rgb="FFFCF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opLeftCell="A2" workbookViewId="0">
      <selection sqref="A1:G1"/>
    </sheetView>
  </sheetViews>
  <sheetFormatPr baseColWidth="10" defaultColWidth="8.88671875" defaultRowHeight="14.4" x14ac:dyDescent="0.3"/>
  <cols>
    <col min="1" max="2" width="60" customWidth="1"/>
  </cols>
  <sheetData>
    <row r="1" spans="1:7" ht="30" customHeight="1" x14ac:dyDescent="0.4">
      <c r="A1" s="19" t="s">
        <v>0</v>
      </c>
      <c r="B1" s="20"/>
      <c r="C1" s="20"/>
      <c r="D1" s="20"/>
      <c r="E1" s="20"/>
      <c r="F1" s="20"/>
      <c r="G1" s="20"/>
    </row>
    <row r="3" spans="1:7" ht="30" customHeight="1" x14ac:dyDescent="0.3">
      <c r="A3" s="1" t="s">
        <v>1</v>
      </c>
    </row>
    <row r="4" spans="1:7" ht="55.8" x14ac:dyDescent="0.3">
      <c r="A4" s="2" t="s">
        <v>2</v>
      </c>
    </row>
    <row r="6" spans="1:7" ht="30" customHeight="1" x14ac:dyDescent="0.3">
      <c r="A6" s="1" t="s">
        <v>3</v>
      </c>
    </row>
    <row r="7" spans="1:7" ht="19.95" customHeight="1" x14ac:dyDescent="0.3">
      <c r="A7" s="2" t="s">
        <v>4</v>
      </c>
    </row>
    <row r="8" spans="1:7" ht="19.95" customHeight="1" x14ac:dyDescent="0.3">
      <c r="A8" s="2" t="s">
        <v>5</v>
      </c>
    </row>
    <row r="9" spans="1:7" ht="19.95" customHeight="1" x14ac:dyDescent="0.3">
      <c r="A9" s="2" t="s">
        <v>6</v>
      </c>
    </row>
    <row r="10" spans="1:7" ht="19.95" customHeight="1" x14ac:dyDescent="0.3">
      <c r="A10" s="2" t="s">
        <v>7</v>
      </c>
    </row>
    <row r="11" spans="1:7" ht="19.95" customHeight="1" x14ac:dyDescent="0.3">
      <c r="A11" s="2" t="s">
        <v>8</v>
      </c>
    </row>
    <row r="12" spans="1:7" ht="19.95" customHeight="1" x14ac:dyDescent="0.3">
      <c r="A12" s="2" t="s">
        <v>9</v>
      </c>
    </row>
    <row r="14" spans="1:7" ht="30" customHeight="1" x14ac:dyDescent="0.3">
      <c r="A14" s="1" t="s">
        <v>10</v>
      </c>
    </row>
    <row r="15" spans="1:7" ht="19.95" customHeight="1" x14ac:dyDescent="0.3">
      <c r="A15" s="2" t="s">
        <v>11</v>
      </c>
    </row>
    <row r="16" spans="1:7" ht="19.95" customHeight="1" x14ac:dyDescent="0.3">
      <c r="A16" s="2" t="s">
        <v>12</v>
      </c>
    </row>
    <row r="17" spans="1:1" ht="19.95" customHeight="1" x14ac:dyDescent="0.3">
      <c r="A17" s="2" t="s">
        <v>13</v>
      </c>
    </row>
    <row r="18" spans="1:1" ht="19.95" customHeight="1" x14ac:dyDescent="0.3">
      <c r="A18" s="2" t="s">
        <v>14</v>
      </c>
    </row>
    <row r="20" spans="1:1" ht="30" customHeight="1" x14ac:dyDescent="0.3">
      <c r="A20" s="1" t="s">
        <v>15</v>
      </c>
    </row>
    <row r="21" spans="1:1" ht="19.95" customHeight="1" x14ac:dyDescent="0.3">
      <c r="A21" s="2" t="s">
        <v>16</v>
      </c>
    </row>
    <row r="23" spans="1:1" ht="6" customHeight="1" x14ac:dyDescent="0.3">
      <c r="A23" s="5"/>
    </row>
    <row r="24" spans="1:1" ht="22.05" customHeight="1" x14ac:dyDescent="0.3">
      <c r="A24" s="6" t="s">
        <v>17</v>
      </c>
    </row>
    <row r="25" spans="1:1" ht="18" customHeight="1" x14ac:dyDescent="0.3">
      <c r="A25" s="2" t="s">
        <v>18</v>
      </c>
    </row>
    <row r="26" spans="1:1" ht="18" customHeight="1" x14ac:dyDescent="0.3">
      <c r="A26" s="7" t="s">
        <v>19</v>
      </c>
    </row>
    <row r="27" spans="1:1" ht="18" customHeight="1" x14ac:dyDescent="0.3">
      <c r="A27" s="8" t="s">
        <v>20</v>
      </c>
    </row>
    <row r="28" spans="1:1" ht="18" customHeight="1" x14ac:dyDescent="0.3">
      <c r="A28" s="8" t="s">
        <v>21</v>
      </c>
    </row>
    <row r="29" spans="1:1" ht="18" customHeight="1" x14ac:dyDescent="0.3">
      <c r="A29" s="8" t="s">
        <v>22</v>
      </c>
    </row>
    <row r="30" spans="1:1" ht="28.05" customHeight="1" x14ac:dyDescent="0.3">
      <c r="A30" s="9" t="s">
        <v>23</v>
      </c>
    </row>
    <row r="32" spans="1:1" ht="18" customHeight="1" x14ac:dyDescent="0.3">
      <c r="A32" s="7" t="s">
        <v>24</v>
      </c>
    </row>
    <row r="33" spans="1:2" ht="19.95" customHeight="1" x14ac:dyDescent="0.3">
      <c r="A33" s="10" t="s">
        <v>25</v>
      </c>
      <c r="B33" s="10" t="s">
        <v>26</v>
      </c>
    </row>
    <row r="34" spans="1:2" ht="36" customHeight="1" x14ac:dyDescent="0.3">
      <c r="A34" s="11" t="s">
        <v>27</v>
      </c>
      <c r="B34" s="11" t="s">
        <v>28</v>
      </c>
    </row>
    <row r="35" spans="1:2" ht="36" customHeight="1" x14ac:dyDescent="0.3">
      <c r="A35" s="12" t="s">
        <v>29</v>
      </c>
      <c r="B35" s="12" t="s">
        <v>30</v>
      </c>
    </row>
    <row r="36" spans="1:2" ht="36" customHeight="1" x14ac:dyDescent="0.3">
      <c r="A36" s="11" t="s">
        <v>31</v>
      </c>
      <c r="B36" s="11" t="s">
        <v>32</v>
      </c>
    </row>
    <row r="37" spans="1:2" ht="36" customHeight="1" x14ac:dyDescent="0.3">
      <c r="A37" s="12" t="s">
        <v>33</v>
      </c>
      <c r="B37" s="12" t="s">
        <v>34</v>
      </c>
    </row>
    <row r="38" spans="1:2" ht="36" customHeight="1" x14ac:dyDescent="0.3">
      <c r="A38" s="11" t="s">
        <v>35</v>
      </c>
      <c r="B38" s="11" t="s">
        <v>36</v>
      </c>
    </row>
    <row r="39" spans="1:2" ht="36" customHeight="1" x14ac:dyDescent="0.3">
      <c r="A39" s="12" t="s">
        <v>37</v>
      </c>
      <c r="B39" s="12" t="s">
        <v>38</v>
      </c>
    </row>
    <row r="42" spans="1:2" ht="6" customHeight="1" x14ac:dyDescent="0.3">
      <c r="A42" s="5"/>
    </row>
    <row r="43" spans="1:2" ht="22.05" customHeight="1" x14ac:dyDescent="0.3">
      <c r="A43" s="6" t="s">
        <v>39</v>
      </c>
    </row>
    <row r="44" spans="1:2" ht="18" customHeight="1" x14ac:dyDescent="0.3">
      <c r="A44" s="2" t="s">
        <v>40</v>
      </c>
    </row>
    <row r="45" spans="1:2" ht="28.05" customHeight="1" x14ac:dyDescent="0.3">
      <c r="A45" s="13" t="s">
        <v>41</v>
      </c>
    </row>
    <row r="47" spans="1:2" ht="18" customHeight="1" x14ac:dyDescent="0.3">
      <c r="A47" s="7" t="s">
        <v>42</v>
      </c>
    </row>
    <row r="48" spans="1:2" ht="19.95" customHeight="1" x14ac:dyDescent="0.3">
      <c r="A48" s="14" t="s">
        <v>43</v>
      </c>
      <c r="B48" s="15" t="s">
        <v>44</v>
      </c>
    </row>
    <row r="49" spans="1:2" ht="36" customHeight="1" x14ac:dyDescent="0.3">
      <c r="A49" s="16" t="s">
        <v>45</v>
      </c>
      <c r="B49" s="17" t="s">
        <v>46</v>
      </c>
    </row>
    <row r="50" spans="1:2" ht="36" customHeight="1" x14ac:dyDescent="0.3">
      <c r="A50" s="16" t="s">
        <v>47</v>
      </c>
      <c r="B50" s="17" t="s">
        <v>48</v>
      </c>
    </row>
    <row r="51" spans="1:2" ht="36" customHeight="1" x14ac:dyDescent="0.3">
      <c r="A51" s="16" t="s">
        <v>49</v>
      </c>
      <c r="B51" s="17" t="s">
        <v>50</v>
      </c>
    </row>
    <row r="52" spans="1:2" ht="36" customHeight="1" x14ac:dyDescent="0.3">
      <c r="A52" s="16" t="s">
        <v>51</v>
      </c>
      <c r="B52" s="17" t="s">
        <v>52</v>
      </c>
    </row>
    <row r="53" spans="1:2" ht="36" customHeight="1" x14ac:dyDescent="0.3">
      <c r="A53" s="16" t="s">
        <v>53</v>
      </c>
      <c r="B53" s="17" t="s">
        <v>54</v>
      </c>
    </row>
    <row r="55" spans="1:2" ht="18" customHeight="1" x14ac:dyDescent="0.3">
      <c r="A55" s="7" t="s">
        <v>55</v>
      </c>
    </row>
    <row r="56" spans="1:2" ht="42" customHeight="1" x14ac:dyDescent="0.3">
      <c r="A56" s="18" t="s">
        <v>56</v>
      </c>
    </row>
    <row r="57" spans="1:2" ht="42" customHeight="1" x14ac:dyDescent="0.3">
      <c r="A57" s="18" t="s">
        <v>57</v>
      </c>
    </row>
    <row r="58" spans="1:2" ht="42" customHeight="1" x14ac:dyDescent="0.3">
      <c r="A58" s="18" t="s">
        <v>58</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
  <sheetViews>
    <sheetView tabSelected="1" workbookViewId="0">
      <pane ySplit="3" topLeftCell="A12" activePane="bottomLeft" state="frozen"/>
      <selection pane="bottomLeft" activeCell="J5" sqref="J5"/>
    </sheetView>
  </sheetViews>
  <sheetFormatPr baseColWidth="10" defaultColWidth="8.88671875" defaultRowHeight="14.4" x14ac:dyDescent="0.3"/>
  <cols>
    <col min="1" max="1" width="10" style="37" customWidth="1"/>
    <col min="2" max="2" width="8" style="37" customWidth="1"/>
    <col min="3" max="3" width="52.88671875" style="37" customWidth="1"/>
    <col min="4" max="5" width="12" style="37" customWidth="1"/>
    <col min="6" max="6" width="22" style="37" customWidth="1"/>
    <col min="7" max="7" width="43.77734375" style="37" bestFit="1" customWidth="1"/>
    <col min="8" max="8" width="18" style="37" customWidth="1"/>
    <col min="9" max="9" width="14" style="37" customWidth="1"/>
    <col min="10" max="10" width="30" style="37" customWidth="1"/>
  </cols>
  <sheetData>
    <row r="1" spans="1:10" ht="28.05" customHeight="1" x14ac:dyDescent="0.3">
      <c r="A1" s="21" t="s">
        <v>59</v>
      </c>
      <c r="B1" s="28"/>
      <c r="C1" s="28"/>
      <c r="D1" s="28"/>
      <c r="E1" s="28"/>
      <c r="F1" s="28"/>
      <c r="G1" s="28"/>
      <c r="H1" s="28"/>
      <c r="I1" s="28"/>
      <c r="J1" s="28"/>
    </row>
    <row r="2" spans="1:10" ht="22.05" customHeight="1" x14ac:dyDescent="0.3">
      <c r="A2" s="24" t="s">
        <v>60</v>
      </c>
      <c r="B2" s="29"/>
      <c r="C2" s="29"/>
      <c r="D2" s="30"/>
      <c r="E2" s="22" t="s">
        <v>61</v>
      </c>
      <c r="F2" s="29"/>
      <c r="G2" s="29"/>
      <c r="H2" s="30"/>
      <c r="I2" s="23" t="s">
        <v>62</v>
      </c>
      <c r="J2" s="30"/>
    </row>
    <row r="3" spans="1:10" ht="30" customHeight="1" x14ac:dyDescent="0.3">
      <c r="A3" s="27" t="s">
        <v>63</v>
      </c>
      <c r="B3" s="27" t="s">
        <v>64</v>
      </c>
      <c r="C3" s="27" t="s">
        <v>65</v>
      </c>
      <c r="D3" s="27" t="s">
        <v>66</v>
      </c>
      <c r="E3" s="27" t="s">
        <v>25</v>
      </c>
      <c r="F3" s="27" t="s">
        <v>67</v>
      </c>
      <c r="G3" s="27" t="s">
        <v>68</v>
      </c>
      <c r="H3" s="27" t="s">
        <v>69</v>
      </c>
      <c r="I3" s="27" t="s">
        <v>70</v>
      </c>
      <c r="J3" s="27" t="s">
        <v>71</v>
      </c>
    </row>
    <row r="4" spans="1:10" ht="105.6" x14ac:dyDescent="0.3">
      <c r="A4" s="31" t="s">
        <v>72</v>
      </c>
      <c r="B4" s="31" t="s">
        <v>73</v>
      </c>
      <c r="C4" s="31" t="s">
        <v>102</v>
      </c>
      <c r="D4" s="31" t="s">
        <v>74</v>
      </c>
      <c r="E4" s="31" t="s">
        <v>115</v>
      </c>
      <c r="F4" s="31" t="s">
        <v>114</v>
      </c>
      <c r="G4" s="31" t="s">
        <v>116</v>
      </c>
      <c r="H4" s="34" t="s">
        <v>80</v>
      </c>
      <c r="I4" s="31" t="s">
        <v>76</v>
      </c>
      <c r="J4" s="31" t="s">
        <v>147</v>
      </c>
    </row>
    <row r="5" spans="1:10" ht="92.4" x14ac:dyDescent="0.3">
      <c r="A5" s="33" t="s">
        <v>77</v>
      </c>
      <c r="B5" s="33" t="s">
        <v>73</v>
      </c>
      <c r="C5" s="33" t="s">
        <v>103</v>
      </c>
      <c r="D5" s="33" t="s">
        <v>74</v>
      </c>
      <c r="E5" s="38" t="s">
        <v>117</v>
      </c>
      <c r="F5" s="33" t="s">
        <v>119</v>
      </c>
      <c r="G5" s="33" t="s">
        <v>120</v>
      </c>
      <c r="H5" s="32" t="s">
        <v>75</v>
      </c>
      <c r="I5" s="33" t="s">
        <v>76</v>
      </c>
      <c r="J5" s="33"/>
    </row>
    <row r="6" spans="1:10" ht="84" customHeight="1" x14ac:dyDescent="0.3">
      <c r="A6" s="31" t="s">
        <v>78</v>
      </c>
      <c r="B6" s="31" t="s">
        <v>73</v>
      </c>
      <c r="C6" s="31" t="s">
        <v>104</v>
      </c>
      <c r="D6" s="31" t="s">
        <v>74</v>
      </c>
      <c r="E6" s="38" t="s">
        <v>118</v>
      </c>
      <c r="F6" s="31" t="s">
        <v>119</v>
      </c>
      <c r="G6" s="31" t="s">
        <v>121</v>
      </c>
      <c r="H6" s="32" t="s">
        <v>75</v>
      </c>
      <c r="I6" s="31" t="s">
        <v>76</v>
      </c>
      <c r="J6" s="31"/>
    </row>
    <row r="7" spans="1:10" ht="94.2" customHeight="1" x14ac:dyDescent="0.3">
      <c r="A7" s="33" t="s">
        <v>79</v>
      </c>
      <c r="B7" s="33" t="s">
        <v>73</v>
      </c>
      <c r="C7" s="33" t="s">
        <v>105</v>
      </c>
      <c r="D7" s="33" t="s">
        <v>74</v>
      </c>
      <c r="E7" s="38" t="s">
        <v>122</v>
      </c>
      <c r="F7" s="33" t="s">
        <v>123</v>
      </c>
      <c r="G7" s="33" t="s">
        <v>124</v>
      </c>
      <c r="H7" s="32" t="s">
        <v>75</v>
      </c>
      <c r="I7" s="33" t="s">
        <v>76</v>
      </c>
      <c r="J7" s="33"/>
    </row>
    <row r="8" spans="1:10" ht="52.8" x14ac:dyDescent="0.3">
      <c r="A8" s="31" t="s">
        <v>82</v>
      </c>
      <c r="B8" s="31" t="s">
        <v>83</v>
      </c>
      <c r="C8" s="31" t="s">
        <v>106</v>
      </c>
      <c r="D8" s="31" t="s">
        <v>74</v>
      </c>
      <c r="E8" s="38" t="s">
        <v>125</v>
      </c>
      <c r="F8" s="38" t="s">
        <v>125</v>
      </c>
      <c r="G8" s="31" t="s">
        <v>126</v>
      </c>
      <c r="H8" s="32" t="s">
        <v>75</v>
      </c>
      <c r="I8" s="31" t="s">
        <v>76</v>
      </c>
      <c r="J8" s="38" t="s">
        <v>146</v>
      </c>
    </row>
    <row r="9" spans="1:10" ht="105.6" x14ac:dyDescent="0.3">
      <c r="A9" s="33" t="s">
        <v>84</v>
      </c>
      <c r="B9" s="31" t="s">
        <v>83</v>
      </c>
      <c r="C9" s="33" t="s">
        <v>107</v>
      </c>
      <c r="D9" s="33" t="s">
        <v>74</v>
      </c>
      <c r="E9" s="38" t="s">
        <v>127</v>
      </c>
      <c r="F9" s="33" t="s">
        <v>128</v>
      </c>
      <c r="G9" s="33" t="s">
        <v>129</v>
      </c>
      <c r="H9" s="36" t="s">
        <v>81</v>
      </c>
      <c r="I9" s="33" t="s">
        <v>76</v>
      </c>
      <c r="J9" s="33"/>
    </row>
    <row r="10" spans="1:10" ht="105.6" x14ac:dyDescent="0.3">
      <c r="A10" s="31" t="s">
        <v>85</v>
      </c>
      <c r="B10" s="31" t="s">
        <v>83</v>
      </c>
      <c r="C10" s="31" t="s">
        <v>108</v>
      </c>
      <c r="D10" s="31" t="s">
        <v>74</v>
      </c>
      <c r="E10" s="38" t="s">
        <v>130</v>
      </c>
      <c r="F10" s="39" t="s">
        <v>131</v>
      </c>
      <c r="G10" s="31" t="s">
        <v>132</v>
      </c>
      <c r="H10" s="32" t="s">
        <v>75</v>
      </c>
      <c r="I10" s="31" t="s">
        <v>76</v>
      </c>
      <c r="J10" s="31"/>
    </row>
    <row r="11" spans="1:10" ht="105.6" x14ac:dyDescent="0.3">
      <c r="A11" s="33" t="s">
        <v>97</v>
      </c>
      <c r="B11" s="31" t="s">
        <v>83</v>
      </c>
      <c r="C11" s="33" t="s">
        <v>109</v>
      </c>
      <c r="D11" s="35" t="s">
        <v>74</v>
      </c>
      <c r="E11" s="38" t="s">
        <v>133</v>
      </c>
      <c r="F11" s="33" t="s">
        <v>128</v>
      </c>
      <c r="G11" s="33" t="s">
        <v>134</v>
      </c>
      <c r="H11" s="32" t="s">
        <v>75</v>
      </c>
      <c r="I11" s="33" t="s">
        <v>76</v>
      </c>
      <c r="J11" s="33"/>
    </row>
    <row r="12" spans="1:10" ht="42" customHeight="1" x14ac:dyDescent="0.3">
      <c r="A12" s="31" t="s">
        <v>98</v>
      </c>
      <c r="B12" s="31" t="s">
        <v>83</v>
      </c>
      <c r="C12" s="31" t="s">
        <v>110</v>
      </c>
      <c r="D12" s="33" t="s">
        <v>74</v>
      </c>
      <c r="E12" s="38" t="s">
        <v>125</v>
      </c>
      <c r="F12" s="38" t="s">
        <v>125</v>
      </c>
      <c r="G12" s="31" t="s">
        <v>135</v>
      </c>
      <c r="H12" s="36" t="s">
        <v>81</v>
      </c>
      <c r="I12" s="31" t="s">
        <v>76</v>
      </c>
      <c r="J12" s="38" t="s">
        <v>146</v>
      </c>
    </row>
    <row r="13" spans="1:10" ht="79.2" x14ac:dyDescent="0.3">
      <c r="A13" s="33" t="s">
        <v>99</v>
      </c>
      <c r="B13" s="33" t="s">
        <v>83</v>
      </c>
      <c r="C13" s="33" t="s">
        <v>111</v>
      </c>
      <c r="D13" s="33" t="s">
        <v>74</v>
      </c>
      <c r="E13" s="38" t="s">
        <v>136</v>
      </c>
      <c r="F13" s="33" t="s">
        <v>137</v>
      </c>
      <c r="G13" s="33" t="s">
        <v>138</v>
      </c>
      <c r="H13" s="32" t="s">
        <v>75</v>
      </c>
      <c r="I13" s="33" t="s">
        <v>76</v>
      </c>
      <c r="J13" s="33" t="s">
        <v>145</v>
      </c>
    </row>
    <row r="14" spans="1:10" ht="78" customHeight="1" x14ac:dyDescent="0.3">
      <c r="A14" s="31" t="s">
        <v>100</v>
      </c>
      <c r="B14" s="31" t="s">
        <v>83</v>
      </c>
      <c r="C14" s="31" t="s">
        <v>112</v>
      </c>
      <c r="D14" s="31" t="s">
        <v>74</v>
      </c>
      <c r="E14" s="38" t="s">
        <v>139</v>
      </c>
      <c r="F14" s="31" t="s">
        <v>140</v>
      </c>
      <c r="G14" s="31" t="s">
        <v>141</v>
      </c>
      <c r="H14" s="32" t="s">
        <v>75</v>
      </c>
      <c r="I14" s="31" t="s">
        <v>76</v>
      </c>
      <c r="J14" s="31"/>
    </row>
    <row r="15" spans="1:10" ht="52.8" x14ac:dyDescent="0.3">
      <c r="A15" s="33" t="s">
        <v>101</v>
      </c>
      <c r="B15" s="33" t="s">
        <v>83</v>
      </c>
      <c r="C15" s="33" t="s">
        <v>113</v>
      </c>
      <c r="D15" s="33" t="s">
        <v>74</v>
      </c>
      <c r="E15" s="38" t="s">
        <v>142</v>
      </c>
      <c r="F15" s="33" t="s">
        <v>143</v>
      </c>
      <c r="G15" s="33" t="s">
        <v>144</v>
      </c>
      <c r="H15" s="32" t="s">
        <v>75</v>
      </c>
      <c r="I15" s="33" t="s">
        <v>76</v>
      </c>
      <c r="J15" s="33"/>
    </row>
  </sheetData>
  <autoFilter ref="A3:J200" xr:uid="{00000000-0009-0000-0000-000001000000}"/>
  <mergeCells count="4">
    <mergeCell ref="A1:J1"/>
    <mergeCell ref="E2:H2"/>
    <mergeCell ref="I2:J2"/>
    <mergeCell ref="A2:D2"/>
  </mergeCells>
  <phoneticPr fontId="15" type="noConversion"/>
  <dataValidations count="2">
    <dataValidation type="list" allowBlank="1" sqref="H4:H200" xr:uid="{00000000-0002-0000-0100-000000000000}">
      <formula1>"Cubierto,Parcialmente cubierto,No cubierto,No aplica al prototipo"</formula1>
    </dataValidation>
    <dataValidation type="list" allowBlank="1" sqref="I4:I200" xr:uid="{00000000-0002-0000-0100-000001000000}">
      <formula1>"Sí,No,—"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B12" sqref="B12"/>
    </sheetView>
  </sheetViews>
  <sheetFormatPr baseColWidth="10" defaultColWidth="8.88671875" defaultRowHeight="14.4" x14ac:dyDescent="0.3"/>
  <cols>
    <col min="1" max="1" width="45" customWidth="1"/>
    <col min="2" max="2" width="20" customWidth="1"/>
  </cols>
  <sheetData>
    <row r="1" spans="1:4" ht="28.05" customHeight="1" x14ac:dyDescent="0.3">
      <c r="A1" s="25" t="s">
        <v>86</v>
      </c>
      <c r="B1" s="20"/>
      <c r="C1" s="20"/>
      <c r="D1" s="20"/>
    </row>
    <row r="3" spans="1:4" x14ac:dyDescent="0.3">
      <c r="A3" s="26" t="s">
        <v>87</v>
      </c>
      <c r="B3" s="20"/>
      <c r="C3" s="20"/>
      <c r="D3" s="20"/>
    </row>
    <row r="5" spans="1:4" x14ac:dyDescent="0.3">
      <c r="A5" s="3" t="s">
        <v>88</v>
      </c>
      <c r="B5" s="3" t="s">
        <v>89</v>
      </c>
    </row>
    <row r="6" spans="1:4" x14ac:dyDescent="0.3">
      <c r="A6" s="4" t="s">
        <v>90</v>
      </c>
      <c r="B6" s="4">
        <v>12</v>
      </c>
    </row>
    <row r="7" spans="1:4" x14ac:dyDescent="0.3">
      <c r="A7" s="4" t="s">
        <v>91</v>
      </c>
      <c r="B7" s="4">
        <v>9</v>
      </c>
    </row>
    <row r="8" spans="1:4" x14ac:dyDescent="0.3">
      <c r="A8" s="4" t="s">
        <v>92</v>
      </c>
      <c r="B8" s="4">
        <v>1</v>
      </c>
    </row>
    <row r="9" spans="1:4" x14ac:dyDescent="0.3">
      <c r="A9" s="4" t="s">
        <v>93</v>
      </c>
      <c r="B9" s="4">
        <f>COUNTIF(Trazabilidad!H4:H200,"No cubierto")</f>
        <v>0</v>
      </c>
    </row>
    <row r="10" spans="1:4" x14ac:dyDescent="0.3">
      <c r="A10" s="4" t="s">
        <v>94</v>
      </c>
      <c r="B10" s="4">
        <f>COUNTIF(Trazabilidad!H4:H200,"No aplica al prototipo")</f>
        <v>2</v>
      </c>
    </row>
    <row r="12" spans="1:4" x14ac:dyDescent="0.3">
      <c r="A12" s="4" t="s">
        <v>95</v>
      </c>
      <c r="B12" s="4">
        <f>COUNTIF(Trazabilidad!I4:I200,"Sí")</f>
        <v>12</v>
      </c>
    </row>
    <row r="13" spans="1:4" x14ac:dyDescent="0.3">
      <c r="A13" s="4" t="s">
        <v>96</v>
      </c>
      <c r="B13" s="4">
        <f>COUNTIF(Trazabilidad!I4:I200,"No")</f>
        <v>0</v>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Trazabilidad</vt:lpstr>
      <vt:lpstr>Resumen 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JOSUE GONZALEZ GUTIERREZ</cp:lastModifiedBy>
  <dcterms:created xsi:type="dcterms:W3CDTF">2026-05-28T16:50:59Z</dcterms:created>
  <dcterms:modified xsi:type="dcterms:W3CDTF">2026-06-18T21:05:12Z</dcterms:modified>
</cp:coreProperties>
</file>